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Z\Desktop\"/>
    </mc:Choice>
  </mc:AlternateContent>
  <xr:revisionPtr revIDLastSave="0" documentId="8_{03F1A095-3BEF-4A81-BC49-0420ED4A0DB9}" xr6:coauthVersionLast="47" xr6:coauthVersionMax="47" xr10:uidLastSave="{00000000-0000-0000-0000-000000000000}"/>
  <bookViews>
    <workbookView xWindow="-108" yWindow="-108" windowWidth="23256" windowHeight="12456" xr2:uid="{00A8C55E-7DC3-4EB0-9F23-C2ECC6180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4" i="1"/>
  <c r="F5" i="1"/>
  <c r="F3" i="1"/>
  <c r="E23" i="1" s="1"/>
  <c r="F2" i="1"/>
  <c r="F24" i="1" l="1"/>
  <c r="F25" i="1"/>
</calcChain>
</file>

<file path=xl/sharedStrings.xml><?xml version="1.0" encoding="utf-8"?>
<sst xmlns="http://schemas.openxmlformats.org/spreadsheetml/2006/main" count="70" uniqueCount="38">
  <si>
    <t>Date</t>
  </si>
  <si>
    <t>Drink</t>
  </si>
  <si>
    <t>Category</t>
  </si>
  <si>
    <t>Quantity</t>
  </si>
  <si>
    <t>Price</t>
  </si>
  <si>
    <t>Total</t>
  </si>
  <si>
    <t>15-3-2026</t>
  </si>
  <si>
    <t>16-3-2026</t>
  </si>
  <si>
    <t>17-3-2026</t>
  </si>
  <si>
    <t>18-3-2026</t>
  </si>
  <si>
    <t>19-3-2026</t>
  </si>
  <si>
    <t>Latte</t>
  </si>
  <si>
    <t>Espresso</t>
  </si>
  <si>
    <t>Iced Mocha</t>
  </si>
  <si>
    <t>Cappuccino</t>
  </si>
  <si>
    <t>Spanish Latte</t>
  </si>
  <si>
    <t>Flat White</t>
  </si>
  <si>
    <t>Iced Americano</t>
  </si>
  <si>
    <t>Caramel Macchiato</t>
  </si>
  <si>
    <t>Turkish Coffee</t>
  </si>
  <si>
    <t>V60</t>
  </si>
  <si>
    <t>Cold Brew</t>
  </si>
  <si>
    <t>Cortado</t>
  </si>
  <si>
    <t>Hot Chocolate</t>
  </si>
  <si>
    <t>Frappuccino</t>
  </si>
  <si>
    <t>Mocha</t>
  </si>
  <si>
    <t>Affogato</t>
  </si>
  <si>
    <t>Iced Tea</t>
  </si>
  <si>
    <t>Americano</t>
  </si>
  <si>
    <t>Pistachio Latte</t>
  </si>
  <si>
    <t>Espresso Macchiato</t>
  </si>
  <si>
    <t>Hot Coffee</t>
  </si>
  <si>
    <t>Cold Coffee</t>
  </si>
  <si>
    <t>Special Drinks</t>
  </si>
  <si>
    <t>Total:</t>
  </si>
  <si>
    <t>Average:</t>
  </si>
  <si>
    <t>Count:</t>
  </si>
  <si>
    <t>Absolute 
Reference: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</si>
</sst>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Sheet1!$B$2:$B$25</c:f>
              <c:strCache>
                <c:ptCount val="20"/>
                <c:pt idx="0">
                  <c:v>Latte</c:v>
                </c:pt>
                <c:pt idx="1">
                  <c:v>Espresso</c:v>
                </c:pt>
                <c:pt idx="2">
                  <c:v>Iced Mocha</c:v>
                </c:pt>
                <c:pt idx="3">
                  <c:v>Cappuccino</c:v>
                </c:pt>
                <c:pt idx="4">
                  <c:v>Spanish Latte</c:v>
                </c:pt>
                <c:pt idx="5">
                  <c:v>Flat White</c:v>
                </c:pt>
                <c:pt idx="6">
                  <c:v>Iced Americano</c:v>
                </c:pt>
                <c:pt idx="7">
                  <c:v>Caramel Macchiato</c:v>
                </c:pt>
                <c:pt idx="8">
                  <c:v>Turkish Coffee</c:v>
                </c:pt>
                <c:pt idx="9">
                  <c:v>V60</c:v>
                </c:pt>
                <c:pt idx="10">
                  <c:v>Cold Brew</c:v>
                </c:pt>
                <c:pt idx="11">
                  <c:v>Cortado</c:v>
                </c:pt>
                <c:pt idx="12">
                  <c:v>Hot Chocolate</c:v>
                </c:pt>
                <c:pt idx="13">
                  <c:v>Frappuccino</c:v>
                </c:pt>
                <c:pt idx="14">
                  <c:v>Mocha</c:v>
                </c:pt>
                <c:pt idx="15">
                  <c:v>Affogato</c:v>
                </c:pt>
                <c:pt idx="16">
                  <c:v>Iced Tea</c:v>
                </c:pt>
                <c:pt idx="17">
                  <c:v>Americano</c:v>
                </c:pt>
                <c:pt idx="18">
                  <c:v>Pistachio Latte</c:v>
                </c:pt>
                <c:pt idx="19">
                  <c:v>Espresso Macchiato</c:v>
                </c:pt>
              </c:strCache>
            </c:strRef>
          </c:cat>
          <c:val>
            <c:numRef>
              <c:f>Sheet1!$D$2:$D$25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8</c:v>
                </c:pt>
                <c:pt idx="7">
                  <c:v>5</c:v>
                </c:pt>
                <c:pt idx="8">
                  <c:v>12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10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FAD-8793-18160E7AA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4007232"/>
        <c:axId val="174005792"/>
      </c:barChart>
      <c:catAx>
        <c:axId val="1740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5792"/>
        <c:crosses val="autoZero"/>
        <c:auto val="1"/>
        <c:lblAlgn val="ctr"/>
        <c:lblOffset val="100"/>
        <c:noMultiLvlLbl val="0"/>
      </c:catAx>
      <c:valAx>
        <c:axId val="1740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72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596349</xdr:colOff>
      <xdr:row>0</xdr:row>
      <xdr:rowOff>0</xdr:rowOff>
    </xdr:from>
    <xdr:to>
      <xdr:col>13</xdr:col>
      <xdr:colOff>309218</xdr:colOff>
      <xdr:row>15</xdr:row>
      <xdr:rowOff>9939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928D4-62CA-DF49-6B6F-EA462CAB4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51F45-3A0B-400F-9171-970AFD317EDE}" name="Table1" displayName="Table1" ref="A1:F25" totalsRowShown="0">
  <autoFilter ref="A1:F25" xr:uid="{3DC51F45-3A0B-400F-9171-970AFD317EDE}"/>
  <tableColumns count="6">
    <tableColumn id="1" xr3:uid="{FBEF2D7D-D1BE-46EF-B965-21FDEECA2D1A}" name="Date"/>
    <tableColumn id="2" xr3:uid="{02858906-A92E-4BD3-AA68-5E14F20C156D}" name="Drink"/>
    <tableColumn id="3" xr3:uid="{A57BAF35-2EC4-4B59-8E5A-48018985703E}" name="Category"/>
    <tableColumn id="4" xr3:uid="{D7265D23-D37C-4340-8CCA-4922E8290E01}" name="Quantity"/>
    <tableColumn id="5" xr3:uid="{B37751E7-DAD3-4551-9EAA-0EDD0E7642F5}" name="Price"/>
    <tableColumn id="6" xr3:uid="{7143B2F0-6D24-41B0-8C6F-B6C35E822002}" name="Total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AB38-DBFE-4E47-9098-0C42F0A2B7CE}">
  <dimension ref="A1:F25"/>
  <sheetViews>
    <sheetView tabSelected="1" zoomScale="138" zoomScaleNormal="138" workbookViewId="0">
      <selection activeCell="B2" sqref="B2"/>
    </sheetView>
  </sheetViews>
  <sheetFormatPr defaultRowHeight="14.4" x14ac:dyDescent="0.3"/>
  <cols>
    <col min="1" max="1" width="12" customWidth="1"/>
    <col min="2" max="2" width="16.5546875" customWidth="1"/>
    <col min="3" max="3" width="1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11</v>
      </c>
      <c r="C2" t="s">
        <v>31</v>
      </c>
      <c r="D2">
        <v>5</v>
      </c>
      <c r="E2">
        <v>50</v>
      </c>
      <c r="F2">
        <f>D2*E2</f>
        <v>250</v>
      </c>
    </row>
    <row r="3" spans="1:6" x14ac:dyDescent="0.3">
      <c r="A3" s="1" t="s">
        <v>6</v>
      </c>
      <c r="B3" t="s">
        <v>12</v>
      </c>
      <c r="C3" t="s">
        <v>31</v>
      </c>
      <c r="D3">
        <v>10</v>
      </c>
      <c r="E3">
        <v>30</v>
      </c>
      <c r="F3">
        <f>D3*E3</f>
        <v>300</v>
      </c>
    </row>
    <row r="4" spans="1:6" x14ac:dyDescent="0.3">
      <c r="A4" s="1" t="s">
        <v>6</v>
      </c>
      <c r="B4" t="s">
        <v>13</v>
      </c>
      <c r="C4" t="s">
        <v>32</v>
      </c>
      <c r="D4">
        <v>7</v>
      </c>
      <c r="E4">
        <v>65</v>
      </c>
      <c r="F4">
        <f>D4*E4</f>
        <v>455</v>
      </c>
    </row>
    <row r="5" spans="1:6" x14ac:dyDescent="0.3">
      <c r="A5" s="1" t="s">
        <v>6</v>
      </c>
      <c r="B5" t="s">
        <v>14</v>
      </c>
      <c r="C5" t="s">
        <v>31</v>
      </c>
      <c r="D5">
        <v>4</v>
      </c>
      <c r="E5">
        <v>55</v>
      </c>
      <c r="F5">
        <f>D5*E5</f>
        <v>220</v>
      </c>
    </row>
    <row r="6" spans="1:6" x14ac:dyDescent="0.3">
      <c r="A6" s="1" t="s">
        <v>7</v>
      </c>
      <c r="B6" t="s">
        <v>15</v>
      </c>
      <c r="C6" t="s">
        <v>31</v>
      </c>
      <c r="D6">
        <v>6</v>
      </c>
      <c r="E6">
        <v>75</v>
      </c>
      <c r="F6">
        <f t="shared" ref="F6:F21" si="0">D6*E6</f>
        <v>450</v>
      </c>
    </row>
    <row r="7" spans="1:6" x14ac:dyDescent="0.3">
      <c r="A7" s="1" t="s">
        <v>7</v>
      </c>
      <c r="B7" t="s">
        <v>16</v>
      </c>
      <c r="C7" t="s">
        <v>31</v>
      </c>
      <c r="D7">
        <v>3</v>
      </c>
      <c r="E7">
        <v>50</v>
      </c>
      <c r="F7">
        <f t="shared" si="0"/>
        <v>150</v>
      </c>
    </row>
    <row r="8" spans="1:6" x14ac:dyDescent="0.3">
      <c r="A8" s="1" t="s">
        <v>7</v>
      </c>
      <c r="B8" t="s">
        <v>17</v>
      </c>
      <c r="C8" t="s">
        <v>32</v>
      </c>
      <c r="D8">
        <v>8</v>
      </c>
      <c r="E8">
        <v>40</v>
      </c>
      <c r="F8">
        <f t="shared" si="0"/>
        <v>320</v>
      </c>
    </row>
    <row r="9" spans="1:6" x14ac:dyDescent="0.3">
      <c r="A9" s="1" t="s">
        <v>7</v>
      </c>
      <c r="B9" t="s">
        <v>18</v>
      </c>
      <c r="C9" t="s">
        <v>31</v>
      </c>
      <c r="D9">
        <v>5</v>
      </c>
      <c r="E9">
        <v>70</v>
      </c>
      <c r="F9">
        <f t="shared" si="0"/>
        <v>350</v>
      </c>
    </row>
    <row r="10" spans="1:6" x14ac:dyDescent="0.3">
      <c r="A10" t="s">
        <v>8</v>
      </c>
      <c r="B10" t="s">
        <v>19</v>
      </c>
      <c r="C10" t="s">
        <v>31</v>
      </c>
      <c r="D10">
        <v>12</v>
      </c>
      <c r="E10">
        <v>25</v>
      </c>
      <c r="F10">
        <f t="shared" si="0"/>
        <v>300</v>
      </c>
    </row>
    <row r="11" spans="1:6" x14ac:dyDescent="0.3">
      <c r="A11" t="s">
        <v>8</v>
      </c>
      <c r="B11" t="s">
        <v>20</v>
      </c>
      <c r="C11" t="s">
        <v>33</v>
      </c>
      <c r="D11">
        <v>4</v>
      </c>
      <c r="E11">
        <v>80</v>
      </c>
      <c r="F11">
        <f t="shared" si="0"/>
        <v>320</v>
      </c>
    </row>
    <row r="12" spans="1:6" x14ac:dyDescent="0.3">
      <c r="A12" t="s">
        <v>8</v>
      </c>
      <c r="B12" t="s">
        <v>21</v>
      </c>
      <c r="C12" t="s">
        <v>32</v>
      </c>
      <c r="D12">
        <v>2</v>
      </c>
      <c r="E12">
        <v>60</v>
      </c>
      <c r="F12">
        <f t="shared" si="0"/>
        <v>120</v>
      </c>
    </row>
    <row r="13" spans="1:6" x14ac:dyDescent="0.3">
      <c r="A13" t="s">
        <v>8</v>
      </c>
      <c r="B13" t="s">
        <v>22</v>
      </c>
      <c r="C13" t="s">
        <v>32</v>
      </c>
      <c r="D13">
        <v>5</v>
      </c>
      <c r="E13">
        <v>45</v>
      </c>
      <c r="F13">
        <f t="shared" si="0"/>
        <v>225</v>
      </c>
    </row>
    <row r="14" spans="1:6" x14ac:dyDescent="0.3">
      <c r="A14" t="s">
        <v>9</v>
      </c>
      <c r="B14" t="s">
        <v>23</v>
      </c>
      <c r="C14" t="s">
        <v>31</v>
      </c>
      <c r="D14">
        <v>9</v>
      </c>
      <c r="E14">
        <v>50</v>
      </c>
      <c r="F14">
        <f t="shared" si="0"/>
        <v>450</v>
      </c>
    </row>
    <row r="15" spans="1:6" x14ac:dyDescent="0.3">
      <c r="A15" t="s">
        <v>9</v>
      </c>
      <c r="B15" t="s">
        <v>24</v>
      </c>
      <c r="C15" t="s">
        <v>31</v>
      </c>
      <c r="D15">
        <v>6</v>
      </c>
      <c r="E15">
        <v>70</v>
      </c>
      <c r="F15">
        <f t="shared" si="0"/>
        <v>420</v>
      </c>
    </row>
    <row r="16" spans="1:6" x14ac:dyDescent="0.3">
      <c r="A16" t="s">
        <v>9</v>
      </c>
      <c r="B16" t="s">
        <v>25</v>
      </c>
      <c r="C16" t="s">
        <v>33</v>
      </c>
      <c r="D16">
        <v>4</v>
      </c>
      <c r="E16">
        <v>55</v>
      </c>
      <c r="F16">
        <f t="shared" si="0"/>
        <v>220</v>
      </c>
    </row>
    <row r="17" spans="1:6" x14ac:dyDescent="0.3">
      <c r="A17" t="s">
        <v>9</v>
      </c>
      <c r="B17" t="s">
        <v>26</v>
      </c>
      <c r="C17" t="s">
        <v>33</v>
      </c>
      <c r="D17">
        <v>3</v>
      </c>
      <c r="E17">
        <v>65</v>
      </c>
      <c r="F17">
        <f t="shared" si="0"/>
        <v>195</v>
      </c>
    </row>
    <row r="18" spans="1:6" x14ac:dyDescent="0.3">
      <c r="A18" t="s">
        <v>10</v>
      </c>
      <c r="B18" t="s">
        <v>27</v>
      </c>
      <c r="C18" t="s">
        <v>32</v>
      </c>
      <c r="D18">
        <v>10</v>
      </c>
      <c r="E18">
        <v>35</v>
      </c>
      <c r="F18">
        <f t="shared" si="0"/>
        <v>350</v>
      </c>
    </row>
    <row r="19" spans="1:6" x14ac:dyDescent="0.3">
      <c r="A19" t="s">
        <v>10</v>
      </c>
      <c r="B19" t="s">
        <v>28</v>
      </c>
      <c r="C19" t="s">
        <v>32</v>
      </c>
      <c r="D19">
        <v>7</v>
      </c>
      <c r="E19">
        <v>35</v>
      </c>
      <c r="F19">
        <f t="shared" si="0"/>
        <v>245</v>
      </c>
    </row>
    <row r="20" spans="1:6" x14ac:dyDescent="0.3">
      <c r="A20" t="s">
        <v>10</v>
      </c>
      <c r="B20" t="s">
        <v>29</v>
      </c>
      <c r="C20" t="s">
        <v>32</v>
      </c>
      <c r="D20">
        <v>5</v>
      </c>
      <c r="E20">
        <v>85</v>
      </c>
      <c r="F20">
        <f t="shared" si="0"/>
        <v>425</v>
      </c>
    </row>
    <row r="21" spans="1:6" x14ac:dyDescent="0.3">
      <c r="A21" t="s">
        <v>10</v>
      </c>
      <c r="B21" t="s">
        <v>30</v>
      </c>
      <c r="C21" t="s">
        <v>31</v>
      </c>
      <c r="D21">
        <v>4</v>
      </c>
      <c r="E21">
        <v>35</v>
      </c>
      <c r="F21">
        <f t="shared" si="0"/>
        <v>140</v>
      </c>
    </row>
    <row r="22" spans="1:6" x14ac:dyDescent="0.3">
      <c r="A22" t="s">
        <v>34</v>
      </c>
      <c r="D22">
        <f>SUM(D2:D21)</f>
        <v>119</v>
      </c>
    </row>
    <row r="23" spans="1:6" x14ac:dyDescent="0.3">
      <c r="A23" t="s">
        <v>35</v>
      </c>
      <c r="E23">
        <f>AVERAGE(E1:E21)</f>
        <v>53.75</v>
      </c>
    </row>
    <row r="24" spans="1:6" x14ac:dyDescent="0.3">
      <c r="A24" t="s">
        <v>36</v>
      </c>
      <c r="F24">
        <f>COUNT(F1:F21)</f>
        <v>20</v>
      </c>
    </row>
    <row r="25" spans="1:6" ht="28.8" x14ac:dyDescent="0.3">
      <c r="A25" s="2" t="s">
        <v>37</v>
      </c>
      <c r="F25">
        <f>SUM($F$2:$F$21)</f>
        <v>5905</v>
      </c>
    </row>
  </sheetData>
  <dataValidations count="1">
    <dataValidation type="list" allowBlank="1" showInputMessage="1" showErrorMessage="1" sqref="C2:C21" xr:uid="{FBFC4EBC-DB9F-4D2D-B7F8-0F4979FE6672}">
      <formula1>"Hot Coffee,Cold Coffee,Special Drinks"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safty</dc:creator>
  <cp:lastModifiedBy>radwa safty</cp:lastModifiedBy>
  <dcterms:created xsi:type="dcterms:W3CDTF">2026-03-15T12:08:43Z</dcterms:created>
  <dcterms:modified xsi:type="dcterms:W3CDTF">2026-03-15T13:20:39Z</dcterms:modified>
</cp:coreProperties>
</file>